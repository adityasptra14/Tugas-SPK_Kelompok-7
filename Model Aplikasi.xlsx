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2. Kuliah\Semester 6\Sistem Pendukung Keputusan (SPK)\Model App\"/>
    </mc:Choice>
  </mc:AlternateContent>
  <xr:revisionPtr revIDLastSave="0" documentId="13_ncr:1_{7ED3C4C1-6030-4454-84DC-A93A3A5B2A28}" xr6:coauthVersionLast="47" xr6:coauthVersionMax="47" xr10:uidLastSave="{00000000-0000-0000-0000-000000000000}"/>
  <bookViews>
    <workbookView xWindow="-110" yWindow="-110" windowWidth="19420" windowHeight="10300" firstSheet="1" xr2:uid="{7CD6F74C-25FC-415C-B4CB-DF0DB69D777B}"/>
  </bookViews>
  <sheets>
    <sheet name="Dashboard User" sheetId="2" r:id="rId1"/>
    <sheet name="Database" sheetId="1" r:id="rId2"/>
  </sheets>
  <definedNames>
    <definedName name="_xlnm.Print_Area" localSheetId="0">'Dashboard User'!$C$2:$H$21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6" i="1" l="1"/>
  <c r="M18" i="1" s="1"/>
  <c r="L6" i="1"/>
  <c r="L18" i="1" s="1"/>
  <c r="K6" i="1"/>
  <c r="K18" i="1" s="1"/>
  <c r="J6" i="1"/>
  <c r="J18" i="1" s="1"/>
  <c r="I6" i="1"/>
  <c r="I18" i="1" s="1"/>
  <c r="M12" i="1" a="1"/>
  <c r="M12" i="1" s="1"/>
  <c r="M24" i="1" s="1"/>
  <c r="L12" i="1" a="1"/>
  <c r="L12" i="1" s="1"/>
  <c r="L24" i="1" s="1"/>
  <c r="K12" i="1" a="1"/>
  <c r="K12" i="1" s="1"/>
  <c r="K24" i="1" s="1"/>
  <c r="J12" i="1" a="1"/>
  <c r="J12" i="1" s="1"/>
  <c r="J24" i="1" s="1"/>
  <c r="I12" i="1" a="1"/>
  <c r="I12" i="1" s="1"/>
  <c r="I24" i="1" s="1"/>
  <c r="M11" i="1" a="1"/>
  <c r="M11" i="1" s="1"/>
  <c r="M23" i="1" s="1"/>
  <c r="L11" i="1" a="1"/>
  <c r="L11" i="1" s="1"/>
  <c r="L23" i="1" s="1"/>
  <c r="K11" i="1" a="1"/>
  <c r="K11" i="1" s="1"/>
  <c r="K23" i="1" s="1"/>
  <c r="J11" i="1" a="1"/>
  <c r="J11" i="1" s="1"/>
  <c r="J23" i="1" s="1"/>
  <c r="I11" i="1" a="1"/>
  <c r="I11" i="1" s="1"/>
  <c r="I23" i="1" s="1"/>
  <c r="M10" i="1" a="1"/>
  <c r="M10" i="1" s="1"/>
  <c r="M22" i="1" s="1"/>
  <c r="L10" i="1" a="1"/>
  <c r="L10" i="1" s="1"/>
  <c r="L22" i="1" s="1"/>
  <c r="K10" i="1" a="1"/>
  <c r="K10" i="1" s="1"/>
  <c r="K22" i="1" s="1"/>
  <c r="J10" i="1" a="1"/>
  <c r="J10" i="1" s="1"/>
  <c r="J22" i="1" s="1"/>
  <c r="I10" i="1" a="1"/>
  <c r="I10" i="1" s="1"/>
  <c r="I22" i="1" s="1"/>
  <c r="M13" i="1"/>
  <c r="M25" i="1" s="1"/>
  <c r="L13" i="1"/>
  <c r="L25" i="1" s="1"/>
  <c r="K13" i="1"/>
  <c r="K25" i="1" s="1"/>
  <c r="J13" i="1"/>
  <c r="J25" i="1" s="1"/>
  <c r="I13" i="1"/>
  <c r="I25" i="1" s="1"/>
  <c r="M9" i="1"/>
  <c r="M21" i="1" s="1"/>
  <c r="L9" i="1"/>
  <c r="L21" i="1" s="1"/>
  <c r="K9" i="1"/>
  <c r="K21" i="1" s="1"/>
  <c r="J9" i="1"/>
  <c r="J21" i="1" s="1"/>
  <c r="I9" i="1"/>
  <c r="I21" i="1" s="1"/>
  <c r="M8" i="1"/>
  <c r="M20" i="1" s="1"/>
  <c r="L8" i="1"/>
  <c r="L20" i="1" s="1"/>
  <c r="K8" i="1"/>
  <c r="K20" i="1" s="1"/>
  <c r="J8" i="1"/>
  <c r="J20" i="1" s="1"/>
  <c r="I8" i="1"/>
  <c r="I20" i="1" s="1"/>
  <c r="M7" i="1"/>
  <c r="M19" i="1" s="1"/>
  <c r="L7" i="1"/>
  <c r="L19" i="1" s="1"/>
  <c r="K7" i="1"/>
  <c r="K19" i="1" s="1"/>
  <c r="J7" i="1"/>
  <c r="J19" i="1" s="1"/>
  <c r="I7" i="1"/>
  <c r="I19" i="1" s="1"/>
  <c r="I26" i="1" l="1"/>
  <c r="K26" i="1"/>
  <c r="M26" i="1"/>
  <c r="J26" i="1"/>
  <c r="L26" i="1"/>
  <c r="K27" i="1" l="1"/>
  <c r="I27" i="1"/>
  <c r="E18" i="2" s="1"/>
  <c r="J27" i="1"/>
  <c r="L27" i="1"/>
  <c r="M2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<sst xmlns="http://schemas.openxmlformats.org/spreadsheetml/2006/main" count="72" uniqueCount="35">
  <si>
    <t>Harga</t>
  </si>
  <si>
    <t>Jarak</t>
  </si>
  <si>
    <t>AC/Non AC</t>
  </si>
  <si>
    <t>Rating</t>
  </si>
  <si>
    <t>Uraian</t>
  </si>
  <si>
    <t>Kost 1</t>
  </si>
  <si>
    <t>Kost 2</t>
  </si>
  <si>
    <t>Kost 3</t>
  </si>
  <si>
    <t>Kost 4</t>
  </si>
  <si>
    <t>Kost 5</t>
  </si>
  <si>
    <t>Tipe</t>
  </si>
  <si>
    <t>Keterangan</t>
  </si>
  <si>
    <t>Bobot</t>
  </si>
  <si>
    <t>Cost</t>
  </si>
  <si>
    <t>Benefit</t>
  </si>
  <si>
    <t>Biaya per Bulan</t>
  </si>
  <si>
    <t>Ukuran Kamar</t>
  </si>
  <si>
    <t>Luas (m2)</t>
  </si>
  <si>
    <t>KM Dalam = 2, KM Luar = 1</t>
  </si>
  <si>
    <t>AC = 2, Non Ac = 1</t>
  </si>
  <si>
    <t>Incl. Listrik = 2, Excl. Listrik =  1</t>
  </si>
  <si>
    <t>Skala 1-5</t>
  </si>
  <si>
    <t>Kriteria/Parameter</t>
  </si>
  <si>
    <t>Normalisasi</t>
  </si>
  <si>
    <t>Kamar Mandi</t>
  </si>
  <si>
    <t>Listrik</t>
  </si>
  <si>
    <t>Hitung Nilai Akhir</t>
  </si>
  <si>
    <t>Nama Kost</t>
  </si>
  <si>
    <t>Jarak Kos ke Kampus (Kilometer)</t>
  </si>
  <si>
    <t>Rekomendasi</t>
  </si>
  <si>
    <t>Ukuran Kamar (m2)</t>
  </si>
  <si>
    <t>Rank</t>
  </si>
  <si>
    <t>APLIKASI SPK PEMILIHAN KOST</t>
  </si>
  <si>
    <t>Jarak dari Kampus (Km)</t>
  </si>
  <si>
    <t>Rekomendasi Kost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</si>
</sst>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2" fontId="0" fillId="0" borderId="0" xfId="0" applyNumberFormat="1"/>
    <xf numFmtId="0" fontId="0" fillId="0" borderId="1" xfId="0" applyBorder="1"/>
    <xf numFmtId="2" fontId="0" fillId="0" borderId="1" xfId="0" applyNumberFormat="1" applyBorder="1"/>
    <xf numFmtId="0" fontId="1" fillId="2" borderId="1" xfId="0" applyFont="1" applyFill="1" applyBorder="1" applyAlignment="1">
      <alignment horizontal="center" vertical="center"/>
    </xf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 vertical="center"/>
    </xf>
    <xf numFmtId="42" fontId="0" fillId="0" borderId="1" xfId="0" applyNumberFormat="1" applyBorder="1"/>
    <xf numFmtId="164" fontId="0" fillId="0" borderId="1" xfId="0" applyNumberFormat="1" applyBorder="1"/>
    <xf numFmtId="0" fontId="1" fillId="0" borderId="2" xfId="0" applyFont="1" applyBorder="1"/>
    <xf numFmtId="2" fontId="1" fillId="0" borderId="3" xfId="0" applyNumberFormat="1" applyFont="1" applyBorder="1"/>
    <xf numFmtId="2" fontId="1" fillId="0" borderId="4" xfId="0" applyNumberFormat="1" applyFont="1" applyBorder="1"/>
    <xf numFmtId="0" fontId="1" fillId="0" borderId="3" xfId="0" applyFont="1" applyBorder="1"/>
    <xf numFmtId="0" fontId="1" fillId="0" borderId="4" xfId="0" applyFont="1" applyBorder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7A29D-B8B7-441A-9EB8-1A430618DA6D}">
  <dimension ref="C3:H18"/>
  <sheetViews>
    <sheetView tabSelected="1" view="pageBreakPreview" topLeftCell="A3" zoomScale="88" zoomScaleNormal="100" workbookViewId="0">
      <selection activeCell="G9" sqref="G9"/>
    </sheetView>
  </sheetViews>
  <sheetFormatPr defaultRowHeight="14.5" x14ac:dyDescent="0.35"/>
  <cols>
    <col min="3" max="3" width="22.54296875" bestFit="1" customWidth="1"/>
    <col min="4" max="8" width="15.7265625" customWidth="1"/>
  </cols>
  <sheetData>
    <row r="3" spans="3:8" ht="21" x14ac:dyDescent="0.5">
      <c r="C3" s="15" t="s">
        <v>32</v>
      </c>
      <c r="D3" s="15"/>
      <c r="E3" s="15"/>
      <c r="F3" s="15"/>
      <c r="G3" s="15"/>
      <c r="H3" s="15"/>
    </row>
    <row r="6" spans="3:8" ht="20.25" customHeight="1" x14ac:dyDescent="0.35">
      <c r="C6" s="4" t="s">
        <v>4</v>
      </c>
      <c r="D6" s="4" t="s">
        <v>5</v>
      </c>
      <c r="E6" s="4" t="s">
        <v>6</v>
      </c>
      <c r="F6" s="4" t="s">
        <v>7</v>
      </c>
      <c r="G6" s="4" t="s">
        <v>8</v>
      </c>
      <c r="H6" s="4" t="s">
        <v>9</v>
      </c>
    </row>
    <row r="7" spans="3:8" x14ac:dyDescent="0.35">
      <c r="C7" s="2" t="s">
        <v>27</v>
      </c>
      <c r="D7" s="2"/>
      <c r="E7" s="2"/>
      <c r="F7" s="2"/>
      <c r="G7" s="2"/>
      <c r="H7" s="2"/>
    </row>
    <row r="8" spans="3:8" x14ac:dyDescent="0.35">
      <c r="C8" s="2" t="s">
        <v>0</v>
      </c>
      <c r="D8" s="8"/>
      <c r="E8" s="8"/>
      <c r="F8" s="8"/>
      <c r="G8" s="8"/>
      <c r="H8" s="8"/>
    </row>
    <row r="9" spans="3:8" x14ac:dyDescent="0.35">
      <c r="C9" s="2" t="s">
        <v>33</v>
      </c>
      <c r="D9" s="9"/>
      <c r="E9" s="9"/>
      <c r="F9" s="9"/>
      <c r="G9" s="9"/>
      <c r="H9" s="9"/>
    </row>
    <row r="10" spans="3:8" x14ac:dyDescent="0.35">
      <c r="C10" s="2" t="s">
        <v>30</v>
      </c>
      <c r="D10" s="2"/>
      <c r="E10" s="2"/>
      <c r="F10" s="2"/>
      <c r="G10" s="2"/>
      <c r="H10" s="2"/>
    </row>
    <row r="11" spans="3:8" x14ac:dyDescent="0.35">
      <c r="C11" s="2" t="s">
        <v>24</v>
      </c>
      <c r="D11" s="2"/>
      <c r="E11" s="2"/>
      <c r="F11" s="2"/>
      <c r="G11" s="2"/>
      <c r="H11" s="2"/>
    </row>
    <row r="12" spans="3:8" x14ac:dyDescent="0.35">
      <c r="C12" s="2" t="s">
        <v>2</v>
      </c>
      <c r="D12" s="2"/>
      <c r="E12" s="2"/>
      <c r="F12" s="2"/>
      <c r="G12" s="2"/>
      <c r="H12" s="2"/>
    </row>
    <row r="13" spans="3:8" x14ac:dyDescent="0.35">
      <c r="C13" s="2" t="s">
        <v>25</v>
      </c>
      <c r="D13" s="2"/>
      <c r="E13" s="2"/>
      <c r="F13" s="2"/>
      <c r="G13" s="2"/>
      <c r="H13" s="2"/>
    </row>
    <row r="14" spans="3:8" x14ac:dyDescent="0.35">
      <c r="C14" s="2" t="s">
        <v>3</v>
      </c>
      <c r="D14" s="2"/>
      <c r="E14" s="2"/>
      <c r="F14" s="2"/>
      <c r="G14" s="2"/>
      <c r="H14" s="2"/>
    </row>
    <row r="17" spans="4:6" ht="18.5" x14ac:dyDescent="0.45">
      <c r="D17" s="16" t="s">
        <v>34</v>
      </c>
      <c r="E17" s="16"/>
      <c r="F17" s="16"/>
    </row>
    <row r="18" spans="4:6" x14ac:dyDescent="0.35">
      <c r="E18" s="7">
        <f>INDEX(Database!I18:M18,MATCH(1,Database!I27:M27,0))</f>
        <v>0</v>
      </c>
    </row>
  </sheetData>
  <mergeCells count="2">
    <mergeCell ref="C3:H3"/>
    <mergeCell ref="D17:F17"/>
  </mergeCells>
  <dataValidations count="3">
    <dataValidation type="list" allowBlank="1" showInputMessage="1" showErrorMessage="1" sqref="D13:H13" xr:uid="{48A863F0-2BED-4876-A21D-D5770D6CD3B1}">
      <formula1>"Include,Exclude,"</formula1>
    </dataValidation>
    <dataValidation type="list" allowBlank="1" showInputMessage="1" showErrorMessage="1" sqref="D12:H12" xr:uid="{FC75AA3C-9D15-4797-8B1C-AE04498E9A3E}">
      <formula1>"AC,Non AC,"</formula1>
    </dataValidation>
    <dataValidation type="list" allowBlank="1" showInputMessage="1" showErrorMessage="1" sqref="D11:H11" xr:uid="{9F1660EB-2D0F-495B-87F4-85E177E16312}">
      <formula1>"Dalam,Luar,"</formula1>
    </dataValidation>
  </dataValidations>
  <pageMargins left="0.7" right="0.7" top="0.75" bottom="0.75" header="0.3" footer="0.3"/>
  <pageSetup paperSize="9" scale="86" orientation="portrait" horizontalDpi="429496729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1B02C-50A0-4EA4-BCD9-3FAB92C40DC9}">
  <dimension ref="B2:M43"/>
  <sheetViews>
    <sheetView topLeftCell="B3" workbookViewId="0">
      <selection activeCell="D14" sqref="D14"/>
    </sheetView>
  </sheetViews>
  <sheetFormatPr defaultRowHeight="14.5" x14ac:dyDescent="0.35"/>
  <cols>
    <col min="2" max="2" width="21.453125" bestFit="1" customWidth="1"/>
    <col min="4" max="4" width="30.453125" bestFit="1" customWidth="1"/>
    <col min="8" max="8" width="21.453125" bestFit="1" customWidth="1"/>
    <col min="9" max="13" width="15.7265625" customWidth="1"/>
  </cols>
  <sheetData>
    <row r="2" spans="2:13" ht="18.5" x14ac:dyDescent="0.45">
      <c r="B2" s="6"/>
    </row>
    <row r="4" spans="2:13" ht="18.5" x14ac:dyDescent="0.45">
      <c r="H4" s="6" t="s">
        <v>23</v>
      </c>
    </row>
    <row r="5" spans="2:13" x14ac:dyDescent="0.35">
      <c r="B5" s="4" t="s">
        <v>22</v>
      </c>
      <c r="C5" s="4" t="s">
        <v>10</v>
      </c>
      <c r="D5" s="4" t="s">
        <v>11</v>
      </c>
      <c r="E5" s="4" t="s">
        <v>12</v>
      </c>
      <c r="I5" t="s">
        <v>5</v>
      </c>
      <c r="J5" t="s">
        <v>6</v>
      </c>
      <c r="K5" t="s">
        <v>7</v>
      </c>
      <c r="L5" t="s">
        <v>8</v>
      </c>
      <c r="M5" t="s">
        <v>9</v>
      </c>
    </row>
    <row r="6" spans="2:13" x14ac:dyDescent="0.35">
      <c r="B6" s="2" t="s">
        <v>0</v>
      </c>
      <c r="C6" s="2" t="s">
        <v>13</v>
      </c>
      <c r="D6" s="2" t="s">
        <v>15</v>
      </c>
      <c r="E6" s="3">
        <v>0.25</v>
      </c>
      <c r="H6" t="s">
        <v>27</v>
      </c>
      <c r="I6">
        <f>IFERROR('Dashboard User'!D7,0)</f>
        <v>0</v>
      </c>
      <c r="J6">
        <f>IFERROR('Dashboard User'!E7,0)</f>
        <v>0</v>
      </c>
      <c r="K6">
        <f>IFERROR('Dashboard User'!F7,0)</f>
        <v>0</v>
      </c>
      <c r="L6">
        <f>IFERROR('Dashboard User'!G7,0)</f>
        <v>0</v>
      </c>
      <c r="M6">
        <f>IFERROR('Dashboard User'!H7,0)</f>
        <v>0</v>
      </c>
    </row>
    <row r="7" spans="2:13" x14ac:dyDescent="0.35">
      <c r="B7" s="2" t="s">
        <v>1</v>
      </c>
      <c r="C7" s="2" t="s">
        <v>13</v>
      </c>
      <c r="D7" s="2" t="s">
        <v>28</v>
      </c>
      <c r="E7" s="3">
        <v>0.2</v>
      </c>
      <c r="H7" t="s">
        <v>0</v>
      </c>
      <c r="I7" s="1">
        <f>IFERROR(MIN('Dashboard User'!$D$8:$H$8)/'Dashboard User'!D8,0)</f>
        <v>0</v>
      </c>
      <c r="J7" s="1">
        <f>IFERROR(MIN('Dashboard User'!$D$8:$H$8)/'Dashboard User'!E8,0)</f>
        <v>0</v>
      </c>
      <c r="K7" s="1">
        <f>IFERROR(MIN('Dashboard User'!$D$8:$H$8)/'Dashboard User'!F8,0)</f>
        <v>0</v>
      </c>
      <c r="L7" s="1">
        <f>IFERROR(MIN('Dashboard User'!$D$8:$H$8)/'Dashboard User'!G8,0)</f>
        <v>0</v>
      </c>
      <c r="M7" s="1">
        <f>IFERROR(MIN('Dashboard User'!$D$8:$H$8)/'Dashboard User'!H8,0)</f>
        <v>0</v>
      </c>
    </row>
    <row r="8" spans="2:13" x14ac:dyDescent="0.35">
      <c r="B8" s="2" t="s">
        <v>16</v>
      </c>
      <c r="C8" s="2" t="s">
        <v>14</v>
      </c>
      <c r="D8" s="2" t="s">
        <v>17</v>
      </c>
      <c r="E8" s="3">
        <v>0.1</v>
      </c>
      <c r="H8" t="s">
        <v>1</v>
      </c>
      <c r="I8" s="1">
        <f>IFERROR(MIN('Dashboard User'!$D$9:$H$9)/'Dashboard User'!D9,0)</f>
        <v>0</v>
      </c>
      <c r="J8" s="1">
        <f>IFERROR(MIN('Dashboard User'!$D$9:$H$9)/'Dashboard User'!E9,0)</f>
        <v>0</v>
      </c>
      <c r="K8" s="1">
        <f>IFERROR(MIN('Dashboard User'!$D$9:$H$9)/'Dashboard User'!F9,0)</f>
        <v>0</v>
      </c>
      <c r="L8" s="1">
        <f>IFERROR(MIN('Dashboard User'!$D$9:$H$9)/'Dashboard User'!G9,0)</f>
        <v>0</v>
      </c>
      <c r="M8" s="1">
        <f>IFERROR(MIN('Dashboard User'!$D$9:$H$9)/'Dashboard User'!H9,0)</f>
        <v>0</v>
      </c>
    </row>
    <row r="9" spans="2:13" x14ac:dyDescent="0.35">
      <c r="B9" s="2" t="s">
        <v>24</v>
      </c>
      <c r="C9" s="2" t="s">
        <v>14</v>
      </c>
      <c r="D9" s="2" t="s">
        <v>18</v>
      </c>
      <c r="E9" s="3">
        <v>0.1</v>
      </c>
      <c r="H9" t="s">
        <v>16</v>
      </c>
      <c r="I9" s="1">
        <f>IFERROR('Dashboard User'!D10/MAX('Dashboard User'!$D$10:$H$10),0)</f>
        <v>0</v>
      </c>
      <c r="J9" s="1">
        <f>IFERROR('Dashboard User'!E10/MAX('Dashboard User'!$D$10:$H$10),0)</f>
        <v>0</v>
      </c>
      <c r="K9" s="1">
        <f>IFERROR('Dashboard User'!F10/MAX('Dashboard User'!$D$10:$H$10),0)</f>
        <v>0</v>
      </c>
      <c r="L9" s="1">
        <f>IFERROR('Dashboard User'!G10/MAX('Dashboard User'!$D$10:$H$10),0)</f>
        <v>0</v>
      </c>
      <c r="M9" s="1">
        <f>IFERROR('Dashboard User'!H10/MAX('Dashboard User'!$D$10:$H$10),0)</f>
        <v>0</v>
      </c>
    </row>
    <row r="10" spans="2:13" x14ac:dyDescent="0.35">
      <c r="B10" s="2" t="s">
        <v>2</v>
      </c>
      <c r="C10" s="2" t="s">
        <v>14</v>
      </c>
      <c r="D10" s="2" t="s">
        <v>19</v>
      </c>
      <c r="E10" s="3">
        <v>0.1</v>
      </c>
      <c r="H10" t="s">
        <v>24</v>
      </c>
      <c r="I10" s="1" cm="1">
        <f t="array" ref="I10">IFERROR(_xlfn.IFS('Dashboard User'!D11="Luar",1,'Dashboard User'!D11="Dalam",2)/2,0)</f>
        <v>0</v>
      </c>
      <c r="J10" s="1" cm="1">
        <f t="array" ref="J10">IFERROR(_xlfn.IFS('Dashboard User'!E11="Luar",1,'Dashboard User'!E11="Dalam",2)/2,0)</f>
        <v>0</v>
      </c>
      <c r="K10" s="1" cm="1">
        <f t="array" ref="K10">IFERROR(_xlfn.IFS('Dashboard User'!F11="Luar",1,'Dashboard User'!F11="Dalam",2)/2,0)</f>
        <v>0</v>
      </c>
      <c r="L10" s="1" cm="1">
        <f t="array" ref="L10">IFERROR(_xlfn.IFS('Dashboard User'!G11="Luar",1,'Dashboard User'!G11="Dalam",2)/2,0)</f>
        <v>0</v>
      </c>
      <c r="M10" s="1" cm="1">
        <f t="array" ref="M10">IFERROR(_xlfn.IFS('Dashboard User'!H11="Luar",1,'Dashboard User'!H11="Dalam",2)/2,0)</f>
        <v>0</v>
      </c>
    </row>
    <row r="11" spans="2:13" x14ac:dyDescent="0.35">
      <c r="B11" s="2" t="s">
        <v>25</v>
      </c>
      <c r="C11" s="2" t="s">
        <v>14</v>
      </c>
      <c r="D11" s="2" t="s">
        <v>20</v>
      </c>
      <c r="E11" s="3">
        <v>0.1</v>
      </c>
      <c r="H11" t="s">
        <v>2</v>
      </c>
      <c r="I11" s="1" cm="1">
        <f t="array" ref="I11">IFERROR(_xlfn.IFS('Dashboard User'!D12="Non AC",1,'Dashboard User'!D12="AC",2)/2,0)</f>
        <v>0</v>
      </c>
      <c r="J11" s="1" cm="1">
        <f t="array" ref="J11">IFERROR(_xlfn.IFS('Dashboard User'!E12="Non AC",1,'Dashboard User'!E12="AC",2)/2,0)</f>
        <v>0</v>
      </c>
      <c r="K11" s="1" cm="1">
        <f t="array" ref="K11">IFERROR(_xlfn.IFS('Dashboard User'!F12="Non AC",1,'Dashboard User'!F12="AC",2)/2,0)</f>
        <v>0</v>
      </c>
      <c r="L11" s="1" cm="1">
        <f t="array" ref="L11">IFERROR(_xlfn.IFS('Dashboard User'!G12="Non AC",1,'Dashboard User'!G12="AC",2)/2,0)</f>
        <v>0</v>
      </c>
      <c r="M11" s="1" cm="1">
        <f t="array" ref="M11">IFERROR(_xlfn.IFS('Dashboard User'!H12="Non AC",1,'Dashboard User'!H12="AC",2)/2,0)</f>
        <v>0</v>
      </c>
    </row>
    <row r="12" spans="2:13" x14ac:dyDescent="0.35">
      <c r="B12" s="2" t="s">
        <v>3</v>
      </c>
      <c r="C12" s="2" t="s">
        <v>14</v>
      </c>
      <c r="D12" s="2" t="s">
        <v>21</v>
      </c>
      <c r="E12" s="3">
        <v>0.15</v>
      </c>
      <c r="H12" t="s">
        <v>25</v>
      </c>
      <c r="I12" s="1" cm="1">
        <f t="array" ref="I12">IFERROR(_xlfn.IFS('Dashboard User'!D13="Exclude",1,'Dashboard User'!D13="Include",2)/2,0)</f>
        <v>0</v>
      </c>
      <c r="J12" s="1" cm="1">
        <f t="array" ref="J12">IFERROR(_xlfn.IFS('Dashboard User'!E13="Exclude",1,'Dashboard User'!E13="Include",2)/2,0)</f>
        <v>0</v>
      </c>
      <c r="K12" s="1" cm="1">
        <f t="array" ref="K12">IFERROR(_xlfn.IFS('Dashboard User'!F13="Exclude",1,'Dashboard User'!F13="Include",2)/2,0)</f>
        <v>0</v>
      </c>
      <c r="L12" s="1" cm="1">
        <f t="array" ref="L12">IFERROR(_xlfn.IFS('Dashboard User'!G13="Exclude",1,'Dashboard User'!G13="Include",2)/2,0)</f>
        <v>0</v>
      </c>
      <c r="M12" s="1" cm="1">
        <f t="array" ref="M12">IFERROR(_xlfn.IFS('Dashboard User'!H13="Exclude",1,'Dashboard User'!H13="Include",2)/2,0)</f>
        <v>0</v>
      </c>
    </row>
    <row r="13" spans="2:13" x14ac:dyDescent="0.35">
      <c r="H13" t="s">
        <v>3</v>
      </c>
      <c r="I13" s="1">
        <f>IFERROR('Dashboard User'!D14/5,0)</f>
        <v>0</v>
      </c>
      <c r="J13" s="1">
        <f>IFERROR('Dashboard User'!E14/5,0)</f>
        <v>0</v>
      </c>
      <c r="K13" s="1">
        <f>IFERROR('Dashboard User'!F14/5,0)</f>
        <v>0</v>
      </c>
      <c r="L13" s="1">
        <f>IFERROR('Dashboard User'!G14/5,0)</f>
        <v>0</v>
      </c>
      <c r="M13" s="1">
        <f>IFERROR('Dashboard User'!H14/5,0)</f>
        <v>0</v>
      </c>
    </row>
    <row r="14" spans="2:13" x14ac:dyDescent="0.35">
      <c r="E14" s="1"/>
    </row>
    <row r="16" spans="2:13" ht="18.5" x14ac:dyDescent="0.45">
      <c r="H16" s="6" t="s">
        <v>26</v>
      </c>
    </row>
    <row r="17" spans="8:13" x14ac:dyDescent="0.35">
      <c r="I17" t="s">
        <v>5</v>
      </c>
      <c r="J17" t="s">
        <v>6</v>
      </c>
      <c r="K17" t="s">
        <v>7</v>
      </c>
      <c r="L17" t="s">
        <v>8</v>
      </c>
      <c r="M17" t="s">
        <v>9</v>
      </c>
    </row>
    <row r="18" spans="8:13" x14ac:dyDescent="0.35">
      <c r="H18" t="s">
        <v>27</v>
      </c>
      <c r="I18">
        <f>I6</f>
        <v>0</v>
      </c>
      <c r="J18">
        <f t="shared" ref="J18:M18" si="0">J6</f>
        <v>0</v>
      </c>
      <c r="K18">
        <f t="shared" si="0"/>
        <v>0</v>
      </c>
      <c r="L18">
        <f t="shared" si="0"/>
        <v>0</v>
      </c>
      <c r="M18">
        <f t="shared" si="0"/>
        <v>0</v>
      </c>
    </row>
    <row r="19" spans="8:13" x14ac:dyDescent="0.35">
      <c r="H19" t="s">
        <v>0</v>
      </c>
      <c r="I19" s="1">
        <f>I7*$E$6</f>
        <v>0</v>
      </c>
      <c r="J19" s="1">
        <f>J7*$E$6</f>
        <v>0</v>
      </c>
      <c r="K19" s="1">
        <f>K7*$E$6</f>
        <v>0</v>
      </c>
      <c r="L19" s="1">
        <f>L7*$E$6</f>
        <v>0</v>
      </c>
      <c r="M19" s="1">
        <f>M7*$E$6</f>
        <v>0</v>
      </c>
    </row>
    <row r="20" spans="8:13" x14ac:dyDescent="0.35">
      <c r="H20" t="s">
        <v>1</v>
      </c>
      <c r="I20" s="1">
        <f>I8*$E$7</f>
        <v>0</v>
      </c>
      <c r="J20" s="1">
        <f>J8*$E$7</f>
        <v>0</v>
      </c>
      <c r="K20" s="1">
        <f>K8*$E$7</f>
        <v>0</v>
      </c>
      <c r="L20" s="1">
        <f>L8*$E$7</f>
        <v>0</v>
      </c>
      <c r="M20" s="1">
        <f>M8*$E$7</f>
        <v>0</v>
      </c>
    </row>
    <row r="21" spans="8:13" x14ac:dyDescent="0.35">
      <c r="H21" t="s">
        <v>16</v>
      </c>
      <c r="I21" s="1">
        <f>I9*$E$8</f>
        <v>0</v>
      </c>
      <c r="J21" s="1">
        <f>J9*$E$8</f>
        <v>0</v>
      </c>
      <c r="K21" s="1">
        <f>K9*$E$8</f>
        <v>0</v>
      </c>
      <c r="L21" s="1">
        <f>L9*$E$8</f>
        <v>0</v>
      </c>
      <c r="M21" s="1">
        <f>M9*$E$8</f>
        <v>0</v>
      </c>
    </row>
    <row r="22" spans="8:13" x14ac:dyDescent="0.35">
      <c r="H22" t="s">
        <v>24</v>
      </c>
      <c r="I22" s="1">
        <f>I10*$E$9</f>
        <v>0</v>
      </c>
      <c r="J22" s="1">
        <f>J10*$E$9</f>
        <v>0</v>
      </c>
      <c r="K22" s="1">
        <f>K10*$E$9</f>
        <v>0</v>
      </c>
      <c r="L22" s="1">
        <f>L10*$E$9</f>
        <v>0</v>
      </c>
      <c r="M22" s="1">
        <f>M10*$E$9</f>
        <v>0</v>
      </c>
    </row>
    <row r="23" spans="8:13" x14ac:dyDescent="0.35">
      <c r="H23" t="s">
        <v>2</v>
      </c>
      <c r="I23" s="1">
        <f>I11*$E$10</f>
        <v>0</v>
      </c>
      <c r="J23" s="1">
        <f>J11*$E$10</f>
        <v>0</v>
      </c>
      <c r="K23" s="1">
        <f>K11*$E$10</f>
        <v>0</v>
      </c>
      <c r="L23" s="1">
        <f>L11*$E$10</f>
        <v>0</v>
      </c>
      <c r="M23" s="1">
        <f>M11*$E$10</f>
        <v>0</v>
      </c>
    </row>
    <row r="24" spans="8:13" x14ac:dyDescent="0.35">
      <c r="H24" t="s">
        <v>25</v>
      </c>
      <c r="I24" s="1">
        <f>I12*$E$11</f>
        <v>0</v>
      </c>
      <c r="J24" s="1">
        <f>J12*$E$11</f>
        <v>0</v>
      </c>
      <c r="K24" s="1">
        <f>K12*$E$11</f>
        <v>0</v>
      </c>
      <c r="L24" s="1">
        <f>L12*$E$11</f>
        <v>0</v>
      </c>
      <c r="M24" s="1">
        <f>M12*$E$11</f>
        <v>0</v>
      </c>
    </row>
    <row r="25" spans="8:13" ht="15" thickBot="1" x14ac:dyDescent="0.4">
      <c r="H25" t="s">
        <v>3</v>
      </c>
      <c r="I25" s="1">
        <f>I13*$E$12</f>
        <v>0</v>
      </c>
      <c r="J25" s="1">
        <f>J13*$E$12</f>
        <v>0</v>
      </c>
      <c r="K25" s="1">
        <f>K13*$E$12</f>
        <v>0</v>
      </c>
      <c r="L25" s="1">
        <f>L13*$E$12</f>
        <v>0</v>
      </c>
      <c r="M25" s="1">
        <f>M13*$E$12</f>
        <v>0</v>
      </c>
    </row>
    <row r="26" spans="8:13" ht="15" thickBot="1" x14ac:dyDescent="0.4">
      <c r="H26" s="10" t="s">
        <v>12</v>
      </c>
      <c r="I26" s="11">
        <f>SUM(I19:I25)</f>
        <v>0</v>
      </c>
      <c r="J26" s="11">
        <f t="shared" ref="J26:M26" si="1">SUM(J19:J25)</f>
        <v>0</v>
      </c>
      <c r="K26" s="11">
        <f t="shared" si="1"/>
        <v>0</v>
      </c>
      <c r="L26" s="11">
        <f t="shared" si="1"/>
        <v>0</v>
      </c>
      <c r="M26" s="12">
        <f t="shared" si="1"/>
        <v>0</v>
      </c>
    </row>
    <row r="27" spans="8:13" ht="15" thickBot="1" x14ac:dyDescent="0.4">
      <c r="H27" s="10" t="s">
        <v>31</v>
      </c>
      <c r="I27" s="13">
        <f>RANK(I26,$I$26:$M$26,0)</f>
        <v>1</v>
      </c>
      <c r="J27" s="13">
        <f>RANK(J26,$I$26:$M$26,0)</f>
        <v>1</v>
      </c>
      <c r="K27" s="13">
        <f>RANK(K26,$I$26:$M$26,0)</f>
        <v>1</v>
      </c>
      <c r="L27" s="13">
        <f>RANK(L26,$I$26:$M$26,0)</f>
        <v>1</v>
      </c>
      <c r="M27" s="14">
        <f>RANK(M26,$I$26:$M$26,0)</f>
        <v>1</v>
      </c>
    </row>
    <row r="42" spans="8:8" x14ac:dyDescent="0.35">
      <c r="H42" s="5"/>
    </row>
    <row r="43" spans="8:8" x14ac:dyDescent="0.35">
      <c r="H43" s="5" t="s">
        <v>29</v>
      </c>
    </row>
  </sheetData>
  <pageMargins left="0.7" right="0.7" top="0.75" bottom="0.75" header="0.3" footer="0.3"/>
  <pageSetup paperSize="9" orientation="portrait" horizontalDpi="4294967292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Dashboard User</vt:lpstr>
      <vt:lpstr>Database</vt:lpstr>
      <vt:lpstr>'Dashboard User'!Print_Area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Tulus H. Nainggolan</dc:creator>
  <cp:lastModifiedBy>Aditya Sptra</cp:lastModifiedBy>
  <dcterms:created xsi:type="dcterms:W3CDTF">2026-04-23T03:52:21Z</dcterms:created>
  <dcterms:modified xsi:type="dcterms:W3CDTF">2026-05-05T14:20:43Z</dcterms:modified>
</cp:coreProperties>
</file>